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heckCompatibility="1"/>
  <mc:AlternateContent xmlns:mc="http://schemas.openxmlformats.org/markup-compatibility/2006">
    <mc:Choice Requires="x15">
      <x15ac:absPath xmlns:x15ac="http://schemas.microsoft.com/office/spreadsheetml/2010/11/ac" url="https://eduetatfr-my.sharepoint.com/personal/lorenzo_magliani_studentfr_ch/Documents/Bureau/EMF/Documents EMF/Syntheses EMF/306/306-G3-SpeleoThink/documentation/Lorenzo/"/>
    </mc:Choice>
  </mc:AlternateContent>
  <xr:revisionPtr revIDLastSave="69" documentId="13_ncr:1_{C68E2980-A969-4E78-98D4-6A7237E3E30A}" xr6:coauthVersionLast="47" xr6:coauthVersionMax="47" xr10:uidLastSave="{CCF6CB05-C1C8-4160-89F4-6A73FF58178D}"/>
  <bookViews>
    <workbookView xWindow="30750" yWindow="1950" windowWidth="21600" windowHeight="11295" xr2:uid="{00000000-000D-0000-FFFF-FFFF00000000}"/>
  </bookViews>
  <sheets>
    <sheet name="Journal_MAGLIANI_LORENZO" sheetId="9" r:id="rId1"/>
  </sheets>
  <definedNames>
    <definedName name="_xlnm._FilterDatabase" localSheetId="0" hidden="1">Journal_MAGLIANI_LORENZO!$A$5:$HI$5</definedName>
    <definedName name="_xlnm.Print_Titles" localSheetId="0">Journal_MAGLIANI_LORENZO!$B:$D,Journal_MAGLIANI_LORENZO!$1:$5</definedName>
    <definedName name="_xlnm.Print_Area" localSheetId="0">Journal_MAGLIANI_LORENZO!$A$1:$D$84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9" l="1"/>
  <c r="D82" i="9"/>
  <c r="D75" i="9"/>
  <c r="D68" i="9"/>
  <c r="D61" i="9"/>
  <c r="D54" i="9"/>
  <c r="D47" i="9"/>
  <c r="D40" i="9"/>
  <c r="D33" i="9"/>
  <c r="D26" i="9"/>
  <c r="D11" i="9"/>
  <c r="D84" i="9" l="1"/>
</calcChain>
</file>

<file path=xl/sharedStrings.xml><?xml version="1.0" encoding="utf-8"?>
<sst xmlns="http://schemas.openxmlformats.org/spreadsheetml/2006/main" count="47" uniqueCount="27">
  <si>
    <t>Insérer les lignes au-dessus de celle-ci !</t>
  </si>
  <si>
    <t>Date</t>
  </si>
  <si>
    <t>Travail effectué</t>
  </si>
  <si>
    <t>[H.h]</t>
  </si>
  <si>
    <t>Temps</t>
  </si>
  <si>
    <t>Total &gt;</t>
  </si>
  <si>
    <r>
      <t xml:space="preserve">Réflexion personnelle </t>
    </r>
    <r>
      <rPr>
        <sz val="8"/>
        <rFont val="Calibri"/>
        <family val="2"/>
      </rPr>
      <t>↓↓↓</t>
    </r>
  </si>
  <si>
    <t>Total général &gt;</t>
  </si>
  <si>
    <r>
      <t>Projet :</t>
    </r>
    <r>
      <rPr>
        <b/>
        <sz val="14"/>
        <rFont val="Arial"/>
        <family val="2"/>
      </rPr>
      <t xml:space="preserve"> </t>
    </r>
    <r>
      <rPr>
        <sz val="14"/>
        <rFont val="Arial"/>
        <family val="2"/>
      </rPr>
      <t xml:space="preserve">SpeleoThink      </t>
    </r>
    <r>
      <rPr>
        <sz val="16"/>
        <rFont val="Arial"/>
        <family val="2"/>
      </rPr>
      <t xml:space="preserve">                      </t>
    </r>
  </si>
  <si>
    <t>Magliani Lorenzo</t>
  </si>
  <si>
    <t>Recherche informations sur la technologie du rover 7links</t>
  </si>
  <si>
    <t>Test technologique rover</t>
  </si>
  <si>
    <t>Aide à la documentation initiale</t>
  </si>
  <si>
    <t>J'ai trouvé que cette journée était un peu ennuyante, j'ai néanmoins aimé la partie de test du rover malgré les difficultés rencontrées.</t>
  </si>
  <si>
    <t>Revue de la documentation mise en place le 5.12.2025</t>
  </si>
  <si>
    <t>Kick-off du projet</t>
  </si>
  <si>
    <t>Planification et revue des tâches</t>
  </si>
  <si>
    <t>Création de l'interface utilisateur</t>
  </si>
  <si>
    <t>Mise en place d'un projet de test des technologies avec Rover et Manette Xbox</t>
  </si>
  <si>
    <t>Intégration du code pour le rover (vidéo, contrôles etc.)</t>
  </si>
  <si>
    <t>J'ai rencontré un problème Majeur lors de la mise en place de l'application de test pour le rover et la manette, c'est pour cela que ça m'a pris autant de temps. Sinon dans la globalité de cette journée j'ai appris pas mal de choses et ça a été très utile pour mon développement professionnel</t>
  </si>
  <si>
    <t>reprise en main du code mis en place la semaine précédente</t>
  </si>
  <si>
    <t>C'était une journée plein de challenge, j'ai rencontré pas mal d'erreurs mais j'ai compris comment les résoudre.</t>
  </si>
  <si>
    <t>intégration de java 17 au lieu de java 1.8 dans le projet</t>
  </si>
  <si>
    <t>Mise en place du contrôle du rover avec la manette</t>
  </si>
  <si>
    <t>Configuration de toutes les options de la vue sur la manette</t>
  </si>
  <si>
    <t>Aujourd'hui il y a eu beaucoup d'avancements et de réussites, on a réussi à mettre tout ce qu'on avait prévu en place, et même plus que ça. Je pense que cette journée s'est très très bien passée.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</si>
</sst>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
    <numFmt numFmtId="165" formatCode="0.0"/>
  </numFmts>
  <fonts count="11" x14ac:knownFonts="1">
    <font>
      <sz val="10"/>
      <name val="Arial"/>
    </font>
    <font>
      <b/>
      <sz val="10"/>
      <name val="Arial"/>
      <family val="2"/>
    </font>
    <font>
      <b/>
      <sz val="14"/>
      <name val="Arial"/>
      <family val="2"/>
    </font>
    <font>
      <sz val="10"/>
      <color rgb="FFFF0000"/>
      <name val="Arial"/>
      <family val="2"/>
    </font>
    <font>
      <sz val="8"/>
      <name val="Arial"/>
      <family val="2"/>
    </font>
    <font>
      <sz val="16"/>
      <name val="Arial"/>
      <family val="2"/>
    </font>
    <font>
      <sz val="14"/>
      <name val="Arial"/>
      <family val="2"/>
    </font>
    <font>
      <b/>
      <sz val="16"/>
      <name val="Arial"/>
      <family val="2"/>
    </font>
    <font>
      <sz val="9"/>
      <name val="Arial"/>
      <family val="2"/>
    </font>
    <font>
      <sz val="8"/>
      <name val="Calibri"/>
      <family val="2"/>
    </font>
    <font>
      <b/>
      <sz val="8"/>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right/>
      <top/>
      <bottom style="thin">
        <color indexed="64"/>
      </bottom>
      <diagonal/>
    </border>
  </borders>
  <cellStyleXfs count="1">
    <xf numFmtId="0" fontId="0" fillId="0" borderId="0"/>
  </cellStyleXfs>
  <cellXfs count="39">
    <xf numFmtId="0" fontId="0" fillId="0" borderId="0" xfId="0"/>
    <xf numFmtId="0" fontId="0" fillId="0" borderId="0" xfId="0" applyProtection="1">
      <protection locked="0"/>
    </xf>
    <xf numFmtId="0" fontId="4" fillId="3" borderId="10" xfId="0" applyFont="1" applyFill="1" applyBorder="1" applyAlignment="1" applyProtection="1">
      <alignment horizontal="left" vertical="center"/>
      <protection locked="0"/>
    </xf>
    <xf numFmtId="0" fontId="4" fillId="3" borderId="16" xfId="0" applyFont="1" applyFill="1" applyBorder="1" applyAlignment="1" applyProtection="1">
      <alignment horizontal="right" vertical="center"/>
      <protection locked="0"/>
    </xf>
    <xf numFmtId="0" fontId="6" fillId="0" borderId="1" xfId="0" applyFont="1" applyBorder="1" applyAlignment="1" applyProtection="1">
      <alignment horizontal="left"/>
      <protection locked="0"/>
    </xf>
    <xf numFmtId="0" fontId="1" fillId="0" borderId="7" xfId="0" applyFont="1" applyBorder="1" applyAlignment="1" applyProtection="1">
      <alignment horizontal="center"/>
      <protection locked="0"/>
    </xf>
    <xf numFmtId="0" fontId="8" fillId="0" borderId="4" xfId="0" applyFont="1" applyBorder="1" applyAlignment="1" applyProtection="1">
      <alignment horizontal="center"/>
      <protection locked="0"/>
    </xf>
    <xf numFmtId="165" fontId="4" fillId="0" borderId="7" xfId="0" applyNumberFormat="1" applyFont="1" applyBorder="1" applyAlignment="1" applyProtection="1">
      <alignment horizontal="center" vertical="center"/>
      <protection locked="0"/>
    </xf>
    <xf numFmtId="165" fontId="4" fillId="0" borderId="5" xfId="0" applyNumberFormat="1" applyFont="1" applyBorder="1" applyAlignment="1" applyProtection="1">
      <alignment horizontal="center" vertical="center"/>
      <protection locked="0"/>
    </xf>
    <xf numFmtId="165" fontId="4" fillId="0" borderId="1" xfId="0" applyNumberFormat="1" applyFont="1" applyBorder="1" applyAlignment="1" applyProtection="1">
      <alignment horizontal="center" vertical="center"/>
      <protection locked="0"/>
    </xf>
    <xf numFmtId="0" fontId="4" fillId="0" borderId="0" xfId="0" applyFont="1" applyAlignment="1" applyProtection="1">
      <alignment horizontal="left" vertical="top" wrapText="1"/>
      <protection locked="0"/>
    </xf>
    <xf numFmtId="164" fontId="0" fillId="0" borderId="0" xfId="0" applyNumberFormat="1" applyAlignment="1" applyProtection="1">
      <alignment horizontal="center" vertical="center"/>
      <protection locked="0"/>
    </xf>
    <xf numFmtId="165" fontId="10" fillId="0" borderId="1" xfId="0" applyNumberFormat="1" applyFont="1" applyBorder="1" applyAlignment="1" applyProtection="1">
      <alignment horizontal="center" vertical="center"/>
      <protection locked="0"/>
    </xf>
    <xf numFmtId="0" fontId="7" fillId="0" borderId="0" xfId="0" applyFont="1" applyAlignment="1" applyProtection="1">
      <alignment horizontal="left"/>
      <protection locked="0"/>
    </xf>
    <xf numFmtId="0" fontId="6" fillId="0" borderId="0" xfId="0" applyFont="1" applyAlignment="1" applyProtection="1">
      <alignment horizontal="left"/>
      <protection locked="0"/>
    </xf>
    <xf numFmtId="0" fontId="6" fillId="0" borderId="6" xfId="0" applyFont="1" applyBorder="1" applyAlignment="1" applyProtection="1">
      <alignment horizontal="left"/>
      <protection locked="0"/>
    </xf>
    <xf numFmtId="0" fontId="1" fillId="0" borderId="10"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0" fontId="1" fillId="0" borderId="16" xfId="0" applyFont="1" applyBorder="1" applyAlignment="1" applyProtection="1">
      <alignment horizontal="left" vertical="center"/>
      <protection locked="0"/>
    </xf>
    <xf numFmtId="0" fontId="1" fillId="0" borderId="14" xfId="0" applyFont="1" applyBorder="1" applyAlignment="1" applyProtection="1">
      <alignment horizontal="left" vertical="center"/>
      <protection locked="0"/>
    </xf>
    <xf numFmtId="164" fontId="0" fillId="0" borderId="3" xfId="0" applyNumberFormat="1" applyBorder="1" applyAlignment="1" applyProtection="1">
      <alignment horizontal="center" vertical="center"/>
      <protection locked="0"/>
    </xf>
    <xf numFmtId="164" fontId="0" fillId="0" borderId="5" xfId="0" applyNumberFormat="1" applyBorder="1" applyAlignment="1" applyProtection="1">
      <alignment horizontal="center" vertical="center"/>
      <protection locked="0"/>
    </xf>
    <xf numFmtId="0" fontId="4" fillId="0" borderId="8" xfId="0" applyFont="1" applyBorder="1" applyAlignment="1" applyProtection="1">
      <alignment horizontal="left" vertical="center"/>
      <protection locked="0"/>
    </xf>
    <xf numFmtId="0" fontId="4" fillId="0" borderId="13" xfId="0" applyFont="1" applyBorder="1" applyAlignment="1" applyProtection="1">
      <alignment horizontal="left" vertical="center"/>
      <protection locked="0"/>
    </xf>
    <xf numFmtId="0" fontId="4" fillId="0" borderId="11" xfId="0" applyFont="1" applyBorder="1" applyAlignment="1" applyProtection="1">
      <alignment horizontal="left" vertical="center"/>
      <protection locked="0"/>
    </xf>
    <xf numFmtId="0" fontId="4" fillId="0" borderId="6" xfId="0" applyFont="1" applyBorder="1" applyAlignment="1" applyProtection="1">
      <alignment horizontal="left" vertical="center"/>
      <protection locked="0"/>
    </xf>
    <xf numFmtId="0" fontId="4" fillId="0" borderId="11" xfId="0" applyFont="1" applyBorder="1" applyAlignment="1" applyProtection="1">
      <alignment horizontal="left" vertical="top" wrapText="1"/>
      <protection locked="0"/>
    </xf>
    <xf numFmtId="0" fontId="4" fillId="0" borderId="0" xfId="0" applyFont="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164" fontId="0" fillId="0" borderId="7" xfId="0" applyNumberFormat="1" applyBorder="1" applyAlignment="1" applyProtection="1">
      <alignment horizontal="center" vertical="center"/>
      <protection locked="0"/>
    </xf>
    <xf numFmtId="0" fontId="4" fillId="0" borderId="10" xfId="0" applyFont="1" applyBorder="1" applyAlignment="1" applyProtection="1">
      <alignment horizontal="left" vertical="center"/>
      <protection locked="0"/>
    </xf>
    <xf numFmtId="0" fontId="4" fillId="0" borderId="16" xfId="0" applyFont="1" applyBorder="1" applyAlignment="1" applyProtection="1">
      <alignment horizontal="left" vertical="center"/>
      <protection locked="0"/>
    </xf>
    <xf numFmtId="0" fontId="4" fillId="0" borderId="12" xfId="0" applyFont="1" applyBorder="1" applyAlignment="1" applyProtection="1">
      <alignment horizontal="left" vertical="center"/>
      <protection locked="0"/>
    </xf>
    <xf numFmtId="0" fontId="4" fillId="0" borderId="15" xfId="0" applyFont="1" applyBorder="1" applyAlignment="1" applyProtection="1">
      <alignment horizontal="left" vertical="center"/>
      <protection locked="0"/>
    </xf>
    <xf numFmtId="164" fontId="0" fillId="0" borderId="2" xfId="0" applyNumberFormat="1" applyBorder="1" applyAlignment="1" applyProtection="1">
      <alignment horizontal="center" vertical="center"/>
      <protection locked="0"/>
    </xf>
    <xf numFmtId="0" fontId="4" fillId="0" borderId="12" xfId="0" applyFont="1" applyBorder="1" applyAlignment="1" applyProtection="1">
      <alignment horizontal="left" vertical="top" wrapText="1"/>
      <protection locked="0"/>
    </xf>
    <xf numFmtId="0" fontId="4" fillId="0" borderId="17" xfId="0" applyFont="1" applyBorder="1" applyAlignment="1" applyProtection="1">
      <alignment horizontal="left" vertical="top" wrapText="1"/>
      <protection locked="0"/>
    </xf>
    <xf numFmtId="0" fontId="4" fillId="0" borderId="15" xfId="0" applyFont="1" applyBorder="1" applyAlignment="1" applyProtection="1">
      <alignment horizontal="left" vertical="top" wrapText="1"/>
      <protection locked="0"/>
    </xf>
    <xf numFmtId="0" fontId="3" fillId="2" borderId="0" xfId="0" applyFont="1" applyFill="1" applyAlignment="1" applyProtection="1">
      <alignment horizontal="center"/>
      <protection locked="0"/>
    </xf>
  </cellXfs>
  <cellStyles count="1">
    <cellStyle name="Normal" xfId="0" builtinId="0"/>
  </cellStyles>
  <dxfs count="24">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
      <font>
        <strike val="0"/>
        <color auto="1"/>
      </font>
      <fill>
        <patternFill>
          <bgColor rgb="FFFFC000"/>
        </patternFill>
      </fill>
    </dxf>
    <dxf>
      <font>
        <strike val="0"/>
        <color auto="1"/>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094A1-2086-4124-85CF-EAAE0115819F}">
  <dimension ref="A1:D85"/>
  <sheetViews>
    <sheetView tabSelected="1" zoomScale="115" zoomScaleNormal="115" zoomScaleSheetLayoutView="115" workbookViewId="0">
      <pane ySplit="1" topLeftCell="A20" activePane="bottomLeft"/>
      <selection activeCell="A5" sqref="A5:XFD5"/>
      <selection pane="bottomLeft" activeCell="B34" sqref="B34:D34"/>
    </sheetView>
  </sheetViews>
  <sheetFormatPr baseColWidth="10" defaultColWidth="11.5703125" defaultRowHeight="12.75" x14ac:dyDescent="0.2"/>
  <cols>
    <col min="1" max="1" width="11.5703125" style="1"/>
    <col min="2" max="3" width="31.7109375" style="1" customWidth="1"/>
    <col min="4" max="4" width="15.7109375" style="1" customWidth="1"/>
    <col min="5" max="217" width="9.140625" style="1" customWidth="1"/>
    <col min="218" max="16384" width="11.5703125" style="1"/>
  </cols>
  <sheetData>
    <row r="1" spans="1:4" ht="20.25" x14ac:dyDescent="0.3">
      <c r="A1" s="13" t="s">
        <v>8</v>
      </c>
      <c r="B1" s="13"/>
      <c r="C1" s="13"/>
      <c r="D1" s="13"/>
    </row>
    <row r="2" spans="1:4" ht="18" x14ac:dyDescent="0.25">
      <c r="A2" s="14" t="s">
        <v>9</v>
      </c>
      <c r="B2" s="14"/>
      <c r="C2" s="15"/>
      <c r="D2" s="4"/>
    </row>
    <row r="4" spans="1:4" ht="12" customHeight="1" x14ac:dyDescent="0.2">
      <c r="A4" s="16" t="s">
        <v>1</v>
      </c>
      <c r="B4" s="16" t="s">
        <v>2</v>
      </c>
      <c r="C4" s="18"/>
      <c r="D4" s="5" t="s">
        <v>4</v>
      </c>
    </row>
    <row r="5" spans="1:4" ht="13.5" thickBot="1" x14ac:dyDescent="0.25">
      <c r="A5" s="17"/>
      <c r="B5" s="17"/>
      <c r="C5" s="19"/>
      <c r="D5" s="6" t="s">
        <v>3</v>
      </c>
    </row>
    <row r="6" spans="1:4" ht="12.75" customHeight="1" x14ac:dyDescent="0.2">
      <c r="A6" s="20">
        <v>45996</v>
      </c>
      <c r="B6" s="22" t="s">
        <v>10</v>
      </c>
      <c r="C6" s="23"/>
      <c r="D6" s="7">
        <v>1.5</v>
      </c>
    </row>
    <row r="7" spans="1:4" x14ac:dyDescent="0.2">
      <c r="A7" s="21"/>
      <c r="B7" s="24" t="s">
        <v>11</v>
      </c>
      <c r="C7" s="25"/>
      <c r="D7" s="8">
        <v>1</v>
      </c>
    </row>
    <row r="8" spans="1:4" x14ac:dyDescent="0.2">
      <c r="A8" s="21"/>
      <c r="B8" s="24" t="s">
        <v>12</v>
      </c>
      <c r="C8" s="25"/>
      <c r="D8" s="8">
        <v>1</v>
      </c>
    </row>
    <row r="9" spans="1:4" x14ac:dyDescent="0.2">
      <c r="A9" s="21"/>
      <c r="B9" s="24"/>
      <c r="C9" s="25"/>
      <c r="D9" s="8"/>
    </row>
    <row r="10" spans="1:4" x14ac:dyDescent="0.2">
      <c r="A10" s="21"/>
      <c r="B10" s="24"/>
      <c r="C10" s="25"/>
      <c r="D10" s="8"/>
    </row>
    <row r="11" spans="1:4" x14ac:dyDescent="0.2">
      <c r="A11" s="21"/>
      <c r="B11" s="2" t="s">
        <v>6</v>
      </c>
      <c r="C11" s="3" t="s">
        <v>5</v>
      </c>
      <c r="D11" s="9">
        <f>SUM(D6:D10)</f>
        <v>3.5</v>
      </c>
    </row>
    <row r="12" spans="1:4" ht="24.95" customHeight="1" x14ac:dyDescent="0.2">
      <c r="A12" s="21"/>
      <c r="B12" s="26" t="s">
        <v>13</v>
      </c>
      <c r="C12" s="27"/>
      <c r="D12" s="28"/>
    </row>
    <row r="13" spans="1:4" ht="12.75" customHeight="1" x14ac:dyDescent="0.2">
      <c r="A13" s="29">
        <v>46003</v>
      </c>
      <c r="B13" s="30" t="s">
        <v>14</v>
      </c>
      <c r="C13" s="31"/>
      <c r="D13" s="7">
        <v>1</v>
      </c>
    </row>
    <row r="14" spans="1:4" x14ac:dyDescent="0.2">
      <c r="A14" s="21"/>
      <c r="B14" s="24" t="s">
        <v>15</v>
      </c>
      <c r="C14" s="25"/>
      <c r="D14" s="8">
        <v>1</v>
      </c>
    </row>
    <row r="15" spans="1:4" x14ac:dyDescent="0.2">
      <c r="A15" s="21"/>
      <c r="B15" s="24" t="s">
        <v>16</v>
      </c>
      <c r="C15" s="25"/>
      <c r="D15" s="8">
        <v>0.5</v>
      </c>
    </row>
    <row r="16" spans="1:4" x14ac:dyDescent="0.2">
      <c r="A16" s="21"/>
      <c r="B16" s="24" t="s">
        <v>17</v>
      </c>
      <c r="C16" s="25"/>
      <c r="D16" s="8">
        <v>1</v>
      </c>
    </row>
    <row r="17" spans="1:4" x14ac:dyDescent="0.2">
      <c r="A17" s="21"/>
      <c r="B17" s="24" t="s">
        <v>18</v>
      </c>
      <c r="C17" s="25"/>
      <c r="D17" s="8">
        <v>2</v>
      </c>
    </row>
    <row r="18" spans="1:4" x14ac:dyDescent="0.2">
      <c r="A18" s="21"/>
      <c r="B18" s="32" t="s">
        <v>19</v>
      </c>
      <c r="C18" s="33"/>
      <c r="D18" s="8">
        <v>1.5</v>
      </c>
    </row>
    <row r="19" spans="1:4" x14ac:dyDescent="0.2">
      <c r="A19" s="21"/>
      <c r="B19" s="2" t="s">
        <v>6</v>
      </c>
      <c r="C19" s="3" t="s">
        <v>5</v>
      </c>
      <c r="D19" s="9">
        <f>SUM(D13:D18)</f>
        <v>7</v>
      </c>
    </row>
    <row r="20" spans="1:4" ht="45" customHeight="1" x14ac:dyDescent="0.2">
      <c r="A20" s="21"/>
      <c r="B20" s="26" t="s">
        <v>20</v>
      </c>
      <c r="C20" s="27"/>
      <c r="D20" s="28"/>
    </row>
    <row r="21" spans="1:4" ht="12.75" customHeight="1" x14ac:dyDescent="0.2">
      <c r="A21" s="29">
        <v>46009</v>
      </c>
      <c r="B21" s="30" t="s">
        <v>21</v>
      </c>
      <c r="C21" s="31"/>
      <c r="D21" s="7">
        <v>3.5</v>
      </c>
    </row>
    <row r="22" spans="1:4" x14ac:dyDescent="0.2">
      <c r="A22" s="21"/>
      <c r="B22" s="24"/>
      <c r="C22" s="25"/>
      <c r="D22" s="8"/>
    </row>
    <row r="23" spans="1:4" x14ac:dyDescent="0.2">
      <c r="A23" s="21"/>
      <c r="B23" s="24"/>
      <c r="C23" s="25"/>
      <c r="D23" s="8"/>
    </row>
    <row r="24" spans="1:4" x14ac:dyDescent="0.2">
      <c r="A24" s="21"/>
      <c r="B24" s="24"/>
      <c r="C24" s="25"/>
      <c r="D24" s="8"/>
    </row>
    <row r="25" spans="1:4" x14ac:dyDescent="0.2">
      <c r="A25" s="21"/>
      <c r="B25" s="24"/>
      <c r="C25" s="25"/>
      <c r="D25" s="8"/>
    </row>
    <row r="26" spans="1:4" x14ac:dyDescent="0.2">
      <c r="A26" s="21"/>
      <c r="B26" s="2" t="s">
        <v>6</v>
      </c>
      <c r="C26" s="3" t="s">
        <v>5</v>
      </c>
      <c r="D26" s="9">
        <f>SUM(D21:D25)</f>
        <v>3.5</v>
      </c>
    </row>
    <row r="27" spans="1:4" ht="24.95" customHeight="1" x14ac:dyDescent="0.2">
      <c r="A27" s="21"/>
      <c r="B27" s="26" t="s">
        <v>22</v>
      </c>
      <c r="C27" s="27"/>
      <c r="D27" s="28"/>
    </row>
    <row r="28" spans="1:4" ht="12.75" customHeight="1" x14ac:dyDescent="0.2">
      <c r="A28" s="29">
        <v>46010</v>
      </c>
      <c r="B28" s="30" t="s">
        <v>23</v>
      </c>
      <c r="C28" s="31"/>
      <c r="D28" s="7">
        <v>2</v>
      </c>
    </row>
    <row r="29" spans="1:4" x14ac:dyDescent="0.2">
      <c r="A29" s="21"/>
      <c r="B29" s="24" t="s">
        <v>24</v>
      </c>
      <c r="C29" s="25"/>
      <c r="D29" s="8">
        <v>4</v>
      </c>
    </row>
    <row r="30" spans="1:4" x14ac:dyDescent="0.2">
      <c r="A30" s="21"/>
      <c r="B30" s="24" t="s">
        <v>25</v>
      </c>
      <c r="C30" s="25"/>
      <c r="D30" s="8">
        <v>1</v>
      </c>
    </row>
    <row r="31" spans="1:4" x14ac:dyDescent="0.2">
      <c r="A31" s="21"/>
      <c r="B31" s="24"/>
      <c r="C31" s="25"/>
      <c r="D31" s="8"/>
    </row>
    <row r="32" spans="1:4" x14ac:dyDescent="0.2">
      <c r="A32" s="21"/>
      <c r="B32" s="24"/>
      <c r="C32" s="25"/>
      <c r="D32" s="8"/>
    </row>
    <row r="33" spans="1:4" x14ac:dyDescent="0.2">
      <c r="A33" s="21"/>
      <c r="B33" s="2" t="s">
        <v>6</v>
      </c>
      <c r="C33" s="3" t="s">
        <v>5</v>
      </c>
      <c r="D33" s="9">
        <f>SUM(D28:D32)</f>
        <v>7</v>
      </c>
    </row>
    <row r="34" spans="1:4" ht="24.95" customHeight="1" x14ac:dyDescent="0.2">
      <c r="A34" s="34"/>
      <c r="B34" s="35" t="s">
        <v>26</v>
      </c>
      <c r="C34" s="36"/>
      <c r="D34" s="37"/>
    </row>
    <row r="35" spans="1:4" ht="12.75" customHeight="1" x14ac:dyDescent="0.2">
      <c r="A35" s="29"/>
      <c r="B35" s="30"/>
      <c r="C35" s="31"/>
      <c r="D35" s="7"/>
    </row>
    <row r="36" spans="1:4" x14ac:dyDescent="0.2">
      <c r="A36" s="21"/>
      <c r="B36" s="24"/>
      <c r="C36" s="25"/>
      <c r="D36" s="8"/>
    </row>
    <row r="37" spans="1:4" x14ac:dyDescent="0.2">
      <c r="A37" s="21"/>
      <c r="B37" s="24"/>
      <c r="C37" s="25"/>
      <c r="D37" s="8"/>
    </row>
    <row r="38" spans="1:4" x14ac:dyDescent="0.2">
      <c r="A38" s="21"/>
      <c r="B38" s="24"/>
      <c r="C38" s="25"/>
      <c r="D38" s="8"/>
    </row>
    <row r="39" spans="1:4" x14ac:dyDescent="0.2">
      <c r="A39" s="21"/>
      <c r="B39" s="24"/>
      <c r="C39" s="25"/>
      <c r="D39" s="8"/>
    </row>
    <row r="40" spans="1:4" x14ac:dyDescent="0.2">
      <c r="A40" s="21"/>
      <c r="B40" s="2" t="s">
        <v>6</v>
      </c>
      <c r="C40" s="3" t="s">
        <v>5</v>
      </c>
      <c r="D40" s="9">
        <f>SUM(D35:D39)</f>
        <v>0</v>
      </c>
    </row>
    <row r="41" spans="1:4" ht="24.95" customHeight="1" x14ac:dyDescent="0.2">
      <c r="A41" s="34"/>
      <c r="B41" s="35"/>
      <c r="C41" s="36"/>
      <c r="D41" s="37"/>
    </row>
    <row r="42" spans="1:4" ht="12.75" customHeight="1" x14ac:dyDescent="0.2">
      <c r="A42" s="29"/>
      <c r="B42" s="30"/>
      <c r="C42" s="31"/>
      <c r="D42" s="7"/>
    </row>
    <row r="43" spans="1:4" x14ac:dyDescent="0.2">
      <c r="A43" s="21"/>
      <c r="B43" s="24"/>
      <c r="C43" s="25"/>
      <c r="D43" s="8"/>
    </row>
    <row r="44" spans="1:4" x14ac:dyDescent="0.2">
      <c r="A44" s="21"/>
      <c r="B44" s="24"/>
      <c r="C44" s="25"/>
      <c r="D44" s="8"/>
    </row>
    <row r="45" spans="1:4" x14ac:dyDescent="0.2">
      <c r="A45" s="21"/>
      <c r="B45" s="24"/>
      <c r="C45" s="25"/>
      <c r="D45" s="8"/>
    </row>
    <row r="46" spans="1:4" x14ac:dyDescent="0.2">
      <c r="A46" s="21"/>
      <c r="B46" s="24"/>
      <c r="C46" s="25"/>
      <c r="D46" s="8"/>
    </row>
    <row r="47" spans="1:4" x14ac:dyDescent="0.2">
      <c r="A47" s="21"/>
      <c r="B47" s="2" t="s">
        <v>6</v>
      </c>
      <c r="C47" s="3" t="s">
        <v>5</v>
      </c>
      <c r="D47" s="9">
        <f>SUM(D42:D46)</f>
        <v>0</v>
      </c>
    </row>
    <row r="48" spans="1:4" ht="24.95" customHeight="1" x14ac:dyDescent="0.2">
      <c r="A48" s="34"/>
      <c r="B48" s="35"/>
      <c r="C48" s="36"/>
      <c r="D48" s="37"/>
    </row>
    <row r="49" spans="1:4" ht="12.75" customHeight="1" x14ac:dyDescent="0.2">
      <c r="A49" s="29"/>
      <c r="B49" s="30"/>
      <c r="C49" s="31"/>
      <c r="D49" s="7"/>
    </row>
    <row r="50" spans="1:4" x14ac:dyDescent="0.2">
      <c r="A50" s="21"/>
      <c r="B50" s="24"/>
      <c r="C50" s="25"/>
      <c r="D50" s="8"/>
    </row>
    <row r="51" spans="1:4" x14ac:dyDescent="0.2">
      <c r="A51" s="21"/>
      <c r="B51" s="24"/>
      <c r="C51" s="25"/>
      <c r="D51" s="8"/>
    </row>
    <row r="52" spans="1:4" x14ac:dyDescent="0.2">
      <c r="A52" s="21"/>
      <c r="B52" s="24"/>
      <c r="C52" s="25"/>
      <c r="D52" s="8"/>
    </row>
    <row r="53" spans="1:4" x14ac:dyDescent="0.2">
      <c r="A53" s="21"/>
      <c r="B53" s="24"/>
      <c r="C53" s="25"/>
      <c r="D53" s="8"/>
    </row>
    <row r="54" spans="1:4" x14ac:dyDescent="0.2">
      <c r="A54" s="21"/>
      <c r="B54" s="2" t="s">
        <v>6</v>
      </c>
      <c r="C54" s="3" t="s">
        <v>5</v>
      </c>
      <c r="D54" s="9">
        <f>SUM(D49:D53)</f>
        <v>0</v>
      </c>
    </row>
    <row r="55" spans="1:4" ht="24.95" customHeight="1" x14ac:dyDescent="0.2">
      <c r="A55" s="34"/>
      <c r="B55" s="35"/>
      <c r="C55" s="36"/>
      <c r="D55" s="37"/>
    </row>
    <row r="56" spans="1:4" ht="12.75" customHeight="1" x14ac:dyDescent="0.2">
      <c r="A56" s="29"/>
      <c r="B56" s="30"/>
      <c r="C56" s="31"/>
      <c r="D56" s="7"/>
    </row>
    <row r="57" spans="1:4" x14ac:dyDescent="0.2">
      <c r="A57" s="21"/>
      <c r="B57" s="24"/>
      <c r="C57" s="25"/>
      <c r="D57" s="8"/>
    </row>
    <row r="58" spans="1:4" x14ac:dyDescent="0.2">
      <c r="A58" s="21"/>
      <c r="B58" s="24"/>
      <c r="C58" s="25"/>
      <c r="D58" s="8"/>
    </row>
    <row r="59" spans="1:4" x14ac:dyDescent="0.2">
      <c r="A59" s="21"/>
      <c r="B59" s="24"/>
      <c r="C59" s="25"/>
      <c r="D59" s="8"/>
    </row>
    <row r="60" spans="1:4" x14ac:dyDescent="0.2">
      <c r="A60" s="21"/>
      <c r="B60" s="24"/>
      <c r="C60" s="25"/>
      <c r="D60" s="8"/>
    </row>
    <row r="61" spans="1:4" x14ac:dyDescent="0.2">
      <c r="A61" s="21"/>
      <c r="B61" s="2" t="s">
        <v>6</v>
      </c>
      <c r="C61" s="3" t="s">
        <v>5</v>
      </c>
      <c r="D61" s="9">
        <f>SUM(D56:D60)</f>
        <v>0</v>
      </c>
    </row>
    <row r="62" spans="1:4" ht="24.95" customHeight="1" x14ac:dyDescent="0.2">
      <c r="A62" s="34"/>
      <c r="B62" s="35"/>
      <c r="C62" s="36"/>
      <c r="D62" s="37"/>
    </row>
    <row r="63" spans="1:4" ht="12.75" customHeight="1" x14ac:dyDescent="0.2">
      <c r="A63" s="29"/>
      <c r="B63" s="30"/>
      <c r="C63" s="31"/>
      <c r="D63" s="7"/>
    </row>
    <row r="64" spans="1:4" x14ac:dyDescent="0.2">
      <c r="A64" s="21"/>
      <c r="B64" s="24"/>
      <c r="C64" s="25"/>
      <c r="D64" s="8"/>
    </row>
    <row r="65" spans="1:4" x14ac:dyDescent="0.2">
      <c r="A65" s="21"/>
      <c r="B65" s="24"/>
      <c r="C65" s="25"/>
      <c r="D65" s="8"/>
    </row>
    <row r="66" spans="1:4" x14ac:dyDescent="0.2">
      <c r="A66" s="21"/>
      <c r="B66" s="24"/>
      <c r="C66" s="25"/>
      <c r="D66" s="8"/>
    </row>
    <row r="67" spans="1:4" x14ac:dyDescent="0.2">
      <c r="A67" s="21"/>
      <c r="B67" s="24"/>
      <c r="C67" s="25"/>
      <c r="D67" s="8"/>
    </row>
    <row r="68" spans="1:4" x14ac:dyDescent="0.2">
      <c r="A68" s="21"/>
      <c r="B68" s="2" t="s">
        <v>6</v>
      </c>
      <c r="C68" s="3" t="s">
        <v>5</v>
      </c>
      <c r="D68" s="9">
        <f>SUM(D63:D67)</f>
        <v>0</v>
      </c>
    </row>
    <row r="69" spans="1:4" ht="24.95" customHeight="1" x14ac:dyDescent="0.2">
      <c r="A69" s="21"/>
      <c r="B69" s="26"/>
      <c r="C69" s="27"/>
      <c r="D69" s="28"/>
    </row>
    <row r="70" spans="1:4" ht="12.75" customHeight="1" x14ac:dyDescent="0.2">
      <c r="A70" s="29"/>
      <c r="B70" s="30"/>
      <c r="C70" s="31"/>
      <c r="D70" s="7"/>
    </row>
    <row r="71" spans="1:4" x14ac:dyDescent="0.2">
      <c r="A71" s="21"/>
      <c r="B71" s="24"/>
      <c r="C71" s="25"/>
      <c r="D71" s="8"/>
    </row>
    <row r="72" spans="1:4" x14ac:dyDescent="0.2">
      <c r="A72" s="21"/>
      <c r="B72" s="24"/>
      <c r="C72" s="25"/>
      <c r="D72" s="8"/>
    </row>
    <row r="73" spans="1:4" x14ac:dyDescent="0.2">
      <c r="A73" s="21"/>
      <c r="B73" s="24"/>
      <c r="C73" s="25"/>
      <c r="D73" s="8"/>
    </row>
    <row r="74" spans="1:4" x14ac:dyDescent="0.2">
      <c r="A74" s="21"/>
      <c r="B74" s="24"/>
      <c r="C74" s="25"/>
      <c r="D74" s="8"/>
    </row>
    <row r="75" spans="1:4" x14ac:dyDescent="0.2">
      <c r="A75" s="21"/>
      <c r="B75" s="2" t="s">
        <v>6</v>
      </c>
      <c r="C75" s="3" t="s">
        <v>5</v>
      </c>
      <c r="D75" s="9">
        <f>SUM(D70:D74)</f>
        <v>0</v>
      </c>
    </row>
    <row r="76" spans="1:4" ht="24.95" customHeight="1" x14ac:dyDescent="0.2">
      <c r="A76" s="34"/>
      <c r="B76" s="35"/>
      <c r="C76" s="36"/>
      <c r="D76" s="37"/>
    </row>
    <row r="77" spans="1:4" ht="12.75" customHeight="1" x14ac:dyDescent="0.2">
      <c r="A77" s="29"/>
      <c r="B77" s="30"/>
      <c r="C77" s="31"/>
      <c r="D77" s="7"/>
    </row>
    <row r="78" spans="1:4" x14ac:dyDescent="0.2">
      <c r="A78" s="21"/>
      <c r="B78" s="24"/>
      <c r="C78" s="25"/>
      <c r="D78" s="8"/>
    </row>
    <row r="79" spans="1:4" x14ac:dyDescent="0.2">
      <c r="A79" s="21"/>
      <c r="B79" s="24"/>
      <c r="C79" s="25"/>
      <c r="D79" s="8"/>
    </row>
    <row r="80" spans="1:4" x14ac:dyDescent="0.2">
      <c r="A80" s="21"/>
      <c r="B80" s="24"/>
      <c r="C80" s="25"/>
      <c r="D80" s="8"/>
    </row>
    <row r="81" spans="1:4" x14ac:dyDescent="0.2">
      <c r="A81" s="21"/>
      <c r="B81" s="24"/>
      <c r="C81" s="25"/>
      <c r="D81" s="8"/>
    </row>
    <row r="82" spans="1:4" x14ac:dyDescent="0.2">
      <c r="A82" s="21"/>
      <c r="B82" s="2" t="s">
        <v>6</v>
      </c>
      <c r="C82" s="3" t="s">
        <v>5</v>
      </c>
      <c r="D82" s="9">
        <f>SUM(D77:D81)</f>
        <v>0</v>
      </c>
    </row>
    <row r="83" spans="1:4" ht="24.95" customHeight="1" x14ac:dyDescent="0.2">
      <c r="A83" s="34"/>
      <c r="B83" s="35"/>
      <c r="C83" s="36"/>
      <c r="D83" s="37"/>
    </row>
    <row r="84" spans="1:4" ht="12" customHeight="1" x14ac:dyDescent="0.2">
      <c r="A84" s="11"/>
      <c r="B84" s="10"/>
      <c r="C84" s="3" t="s">
        <v>7</v>
      </c>
      <c r="D84" s="12">
        <f>D11+D19+D26+D33+D40+D47+D54+D61+D68+D75+D82</f>
        <v>21</v>
      </c>
    </row>
    <row r="85" spans="1:4" x14ac:dyDescent="0.2">
      <c r="A85" s="38" t="s">
        <v>0</v>
      </c>
      <c r="B85" s="38"/>
      <c r="C85" s="38"/>
      <c r="D85" s="38"/>
    </row>
  </sheetData>
  <mergeCells count="83">
    <mergeCell ref="A85:D85"/>
    <mergeCell ref="A77:A83"/>
    <mergeCell ref="B77:C77"/>
    <mergeCell ref="B78:C78"/>
    <mergeCell ref="B79:C79"/>
    <mergeCell ref="B80:C80"/>
    <mergeCell ref="B81:C81"/>
    <mergeCell ref="B83:D83"/>
    <mergeCell ref="A70:A76"/>
    <mergeCell ref="B70:C70"/>
    <mergeCell ref="B71:C71"/>
    <mergeCell ref="B72:C72"/>
    <mergeCell ref="B73:C73"/>
    <mergeCell ref="B74:C74"/>
    <mergeCell ref="B76:D76"/>
    <mergeCell ref="A63:A69"/>
    <mergeCell ref="B63:C63"/>
    <mergeCell ref="B64:C64"/>
    <mergeCell ref="B65:C65"/>
    <mergeCell ref="B66:C66"/>
    <mergeCell ref="B67:C67"/>
    <mergeCell ref="B69:D69"/>
    <mergeCell ref="A56:A62"/>
    <mergeCell ref="B56:C56"/>
    <mergeCell ref="B57:C57"/>
    <mergeCell ref="B58:C58"/>
    <mergeCell ref="B59:C59"/>
    <mergeCell ref="B60:C60"/>
    <mergeCell ref="B62:D62"/>
    <mergeCell ref="A49:A55"/>
    <mergeCell ref="B49:C49"/>
    <mergeCell ref="B50:C50"/>
    <mergeCell ref="B51:C51"/>
    <mergeCell ref="B52:C52"/>
    <mergeCell ref="B53:C53"/>
    <mergeCell ref="B55:D55"/>
    <mergeCell ref="A42:A48"/>
    <mergeCell ref="B42:C42"/>
    <mergeCell ref="B43:C43"/>
    <mergeCell ref="B44:C44"/>
    <mergeCell ref="B45:C45"/>
    <mergeCell ref="B46:C46"/>
    <mergeCell ref="B48:D48"/>
    <mergeCell ref="A35:A41"/>
    <mergeCell ref="B35:C35"/>
    <mergeCell ref="B36:C36"/>
    <mergeCell ref="B37:C37"/>
    <mergeCell ref="B38:C38"/>
    <mergeCell ref="B39:C39"/>
    <mergeCell ref="B41:D41"/>
    <mergeCell ref="A28:A34"/>
    <mergeCell ref="B28:C28"/>
    <mergeCell ref="B29:C29"/>
    <mergeCell ref="B30:C30"/>
    <mergeCell ref="B31:C31"/>
    <mergeCell ref="B32:C32"/>
    <mergeCell ref="B34:D34"/>
    <mergeCell ref="A21:A27"/>
    <mergeCell ref="B21:C21"/>
    <mergeCell ref="B22:C22"/>
    <mergeCell ref="B23:C23"/>
    <mergeCell ref="B24:C24"/>
    <mergeCell ref="B25:C25"/>
    <mergeCell ref="B27:D27"/>
    <mergeCell ref="A13:A20"/>
    <mergeCell ref="B13:C13"/>
    <mergeCell ref="B14:C14"/>
    <mergeCell ref="B15:C15"/>
    <mergeCell ref="B16:C16"/>
    <mergeCell ref="B17:C17"/>
    <mergeCell ref="B20:D20"/>
    <mergeCell ref="B18:C18"/>
    <mergeCell ref="A1:D1"/>
    <mergeCell ref="A2:C2"/>
    <mergeCell ref="A4:A5"/>
    <mergeCell ref="B4:C5"/>
    <mergeCell ref="A6:A12"/>
    <mergeCell ref="B6:C6"/>
    <mergeCell ref="B7:C7"/>
    <mergeCell ref="B8:C8"/>
    <mergeCell ref="B9:C9"/>
    <mergeCell ref="B10:C10"/>
    <mergeCell ref="B12:D12"/>
  </mergeCells>
  <conditionalFormatting sqref="D6:D11">
    <cfRule type="containsText" dxfId="23" priority="23" operator="containsText" text="Terminé">
      <formula>NOT(ISERROR(SEARCH("Terminé",D6)))</formula>
    </cfRule>
    <cfRule type="containsText" dxfId="22" priority="24" operator="containsText" text="En cours">
      <formula>NOT(ISERROR(SEARCH("En cours",D6)))</formula>
    </cfRule>
  </conditionalFormatting>
  <conditionalFormatting sqref="D13:D19">
    <cfRule type="containsText" dxfId="21" priority="21" operator="containsText" text="Terminé">
      <formula>NOT(ISERROR(SEARCH("Terminé",D13)))</formula>
    </cfRule>
    <cfRule type="containsText" dxfId="20" priority="22" operator="containsText" text="En cours">
      <formula>NOT(ISERROR(SEARCH("En cours",D13)))</formula>
    </cfRule>
  </conditionalFormatting>
  <conditionalFormatting sqref="D21:D26">
    <cfRule type="containsText" dxfId="19" priority="3" operator="containsText" text="Terminé">
      <formula>NOT(ISERROR(SEARCH("Terminé",D21)))</formula>
    </cfRule>
    <cfRule type="containsText" dxfId="18" priority="4" operator="containsText" text="En cours">
      <formula>NOT(ISERROR(SEARCH("En cours",D21)))</formula>
    </cfRule>
  </conditionalFormatting>
  <conditionalFormatting sqref="D28:D33">
    <cfRule type="containsText" dxfId="17" priority="19" operator="containsText" text="Terminé">
      <formula>NOT(ISERROR(SEARCH("Terminé",D28)))</formula>
    </cfRule>
    <cfRule type="containsText" dxfId="16" priority="20" operator="containsText" text="En cours">
      <formula>NOT(ISERROR(SEARCH("En cours",D28)))</formula>
    </cfRule>
  </conditionalFormatting>
  <conditionalFormatting sqref="D35:D40">
    <cfRule type="containsText" dxfId="15" priority="17" operator="containsText" text="Terminé">
      <formula>NOT(ISERROR(SEARCH("Terminé",D35)))</formula>
    </cfRule>
    <cfRule type="containsText" dxfId="14" priority="18" operator="containsText" text="En cours">
      <formula>NOT(ISERROR(SEARCH("En cours",D35)))</formula>
    </cfRule>
  </conditionalFormatting>
  <conditionalFormatting sqref="D42:D47">
    <cfRule type="containsText" dxfId="13" priority="9" operator="containsText" text="Terminé">
      <formula>NOT(ISERROR(SEARCH("Terminé",D42)))</formula>
    </cfRule>
    <cfRule type="containsText" dxfId="12" priority="10" operator="containsText" text="En cours">
      <formula>NOT(ISERROR(SEARCH("En cours",D42)))</formula>
    </cfRule>
  </conditionalFormatting>
  <conditionalFormatting sqref="D49:D54">
    <cfRule type="containsText" dxfId="11" priority="7" operator="containsText" text="Terminé">
      <formula>NOT(ISERROR(SEARCH("Terminé",D49)))</formula>
    </cfRule>
    <cfRule type="containsText" dxfId="10" priority="8" operator="containsText" text="En cours">
      <formula>NOT(ISERROR(SEARCH("En cours",D49)))</formula>
    </cfRule>
  </conditionalFormatting>
  <conditionalFormatting sqref="D56:D61">
    <cfRule type="containsText" dxfId="9" priority="5" operator="containsText" text="Terminé">
      <formula>NOT(ISERROR(SEARCH("Terminé",D56)))</formula>
    </cfRule>
    <cfRule type="containsText" dxfId="8" priority="6" operator="containsText" text="En cours">
      <formula>NOT(ISERROR(SEARCH("En cours",D56)))</formula>
    </cfRule>
  </conditionalFormatting>
  <conditionalFormatting sqref="D63:D68">
    <cfRule type="containsText" dxfId="7" priority="15" operator="containsText" text="Terminé">
      <formula>NOT(ISERROR(SEARCH("Terminé",D63)))</formula>
    </cfRule>
    <cfRule type="containsText" dxfId="6" priority="16" operator="containsText" text="En cours">
      <formula>NOT(ISERROR(SEARCH("En cours",D63)))</formula>
    </cfRule>
  </conditionalFormatting>
  <conditionalFormatting sqref="D70:D75">
    <cfRule type="containsText" dxfId="5" priority="13" operator="containsText" text="Terminé">
      <formula>NOT(ISERROR(SEARCH("Terminé",D70)))</formula>
    </cfRule>
    <cfRule type="containsText" dxfId="4" priority="14" operator="containsText" text="En cours">
      <formula>NOT(ISERROR(SEARCH("En cours",D70)))</formula>
    </cfRule>
  </conditionalFormatting>
  <conditionalFormatting sqref="D77:D82">
    <cfRule type="containsText" dxfId="3" priority="11" operator="containsText" text="Terminé">
      <formula>NOT(ISERROR(SEARCH("Terminé",D77)))</formula>
    </cfRule>
    <cfRule type="containsText" dxfId="2" priority="12" operator="containsText" text="En cours">
      <formula>NOT(ISERROR(SEARCH("En cours",D77)))</formula>
    </cfRule>
  </conditionalFormatting>
  <conditionalFormatting sqref="D84">
    <cfRule type="containsText" dxfId="1" priority="1" operator="containsText" text="Terminé">
      <formula>NOT(ISERROR(SEARCH("Terminé",D84)))</formula>
    </cfRule>
    <cfRule type="containsText" dxfId="0" priority="2" operator="containsText" text="En cours">
      <formula>NOT(ISERROR(SEARCH("En cours",D84)))</formula>
    </cfRule>
  </conditionalFormatting>
  <printOptions horizontalCentered="1"/>
  <pageMargins left="0.47244094488188981" right="0.15748031496062992" top="1.4566929133858268" bottom="0.43307086614173229" header="0.31496062992125984" footer="0.19685039370078741"/>
  <pageSetup paperSize="9" orientation="portrait" r:id="rId1"/>
  <headerFooter alignWithMargins="0">
    <oddHeader>&amp;L&amp;"Arial,Gras"&amp;14Informaticien/-ne CFC&amp;"Arial,Normal"&amp;10
Travail pratique individuel 2023 (TPI)&amp;R&amp;"Arial,Gras"&amp;14&amp;G</oddHeader>
    <oddFooter>&amp;L&amp;8&amp;F&amp;R&amp;8Page &amp;P/&amp;N</oddFooter>
  </headerFooter>
  <rowBreaks count="2" manualBreakCount="2">
    <brk id="48" max="16383" man="1"/>
    <brk id="84" max="3" man="1"/>
  </rowBreaks>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BD0882D7B13D249A8B88997E24B9140" ma:contentTypeVersion="14" ma:contentTypeDescription="Crée un document." ma:contentTypeScope="" ma:versionID="3865b25f2bf2a035dbe7787239b3f11c">
  <xsd:schema xmlns:xsd="http://www.w3.org/2001/XMLSchema" xmlns:xs="http://www.w3.org/2001/XMLSchema" xmlns:p="http://schemas.microsoft.com/office/2006/metadata/properties" xmlns:ns2="8afaa137-8a18-4908-97f4-35fc924e5a91" xmlns:ns3="3b60234b-33e6-42ae-ae88-ba7d4a3eedfd" targetNamespace="http://schemas.microsoft.com/office/2006/metadata/properties" ma:root="true" ma:fieldsID="718f9f7ddd2530d56a17ab9424d0abda" ns2:_="" ns3:_="">
    <xsd:import namespace="8afaa137-8a18-4908-97f4-35fc924e5a91"/>
    <xsd:import namespace="3b60234b-33e6-42ae-ae88-ba7d4a3eedf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faa137-8a18-4908-97f4-35fc924e5a9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fbd933d8-63e4-4f7e-90f6-66429bb13b47"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60234b-33e6-42ae-ae88-ba7d4a3eedf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e1ad492-b571-416b-b6e8-cea3505811d7}" ma:internalName="TaxCatchAll" ma:showField="CatchAllData" ma:web="3b60234b-33e6-42ae-ae88-ba7d4a3eedf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afaa137-8a18-4908-97f4-35fc924e5a91">
      <Terms xmlns="http://schemas.microsoft.com/office/infopath/2007/PartnerControls"/>
    </lcf76f155ced4ddcb4097134ff3c332f>
    <TaxCatchAll xmlns="3b60234b-33e6-42ae-ae88-ba7d4a3eedfd" xsi:nil="true"/>
  </documentManagement>
</p:properties>
</file>

<file path=customXml/itemProps1.xml><?xml version="1.0" encoding="utf-8"?>
<ds:datastoreItem xmlns:ds="http://schemas.openxmlformats.org/officeDocument/2006/customXml" ds:itemID="{E8C0AFF7-6D45-4588-A3CE-0506D82134A8}">
  <ds:schemaRefs>
    <ds:schemaRef ds:uri="http://schemas.microsoft.com/sharepoint/v3/contenttype/forms"/>
  </ds:schemaRefs>
</ds:datastoreItem>
</file>

<file path=customXml/itemProps2.xml><?xml version="1.0" encoding="utf-8"?>
<ds:datastoreItem xmlns:ds="http://schemas.openxmlformats.org/officeDocument/2006/customXml" ds:itemID="{84AEF82B-2BAE-481D-A319-B09ADD691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faa137-8a18-4908-97f4-35fc924e5a91"/>
    <ds:schemaRef ds:uri="3b60234b-33e6-42ae-ae88-ba7d4a3ee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1CED954-0C0B-4246-88BC-C0C5C061E08E}">
  <ds:schemaRefs>
    <ds:schemaRef ds:uri="http://schemas.microsoft.com/office/2006/metadata/properties"/>
    <ds:schemaRef ds:uri="http://schemas.microsoft.com/office/infopath/2007/PartnerControls"/>
    <ds:schemaRef ds:uri="b54f96d8-6138-4ba9-8b5a-da1062324abb"/>
    <ds:schemaRef ds:uri="0ecde9c3-6951-4ee0-98d0-295e535ef6cd"/>
    <ds:schemaRef ds:uri="8afaa137-8a18-4908-97f4-35fc924e5a91"/>
    <ds:schemaRef ds:uri="3b60234b-33e6-42ae-ae88-ba7d4a3eedf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Journal_MAGLIANI_LORENZO</vt:lpstr>
      <vt:lpstr>Journal_MAGLIANI_LORENZO!Impression_des_titres</vt:lpstr>
      <vt:lpstr>Journal_MAGLIANI_LORENZO!Zone_d_impression</vt:lpstr>
    </vt:vector>
  </TitlesOfParts>
  <Company>EMF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Guisolan Christian</dc:creator>
  <cp:lastModifiedBy>Magliani Lorenzo</cp:lastModifiedBy>
  <cp:lastPrinted>2022-01-05T15:16:39Z</cp:lastPrinted>
  <dcterms:created xsi:type="dcterms:W3CDTF">2002-03-11T12:50:08Z</dcterms:created>
  <dcterms:modified xsi:type="dcterms:W3CDTF">2025-12-19T15:26:10Z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0x0101006BD0882D7B13D249A8B88997E24B9140</vt:lpwstr>
  </property>
  <property fmtid="{D5CDD505-2E9C-101B-9397-08002B2CF9AE}" pid="3" name="MediaServiceImageTags">
    <vt:lpwstr/>
  </property>
</Properties>
</file>